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3689732ab8581f8/Desktop/All Excel Assignments/"/>
    </mc:Choice>
  </mc:AlternateContent>
  <xr:revisionPtr revIDLastSave="47" documentId="13_ncr:1_{585418CE-DE94-45BD-9161-49AECEDF472D}" xr6:coauthVersionLast="47" xr6:coauthVersionMax="47" xr10:uidLastSave="{0152D889-0414-45B9-9000-C5135660C8E6}"/>
  <bookViews>
    <workbookView xWindow="-108" yWindow="-108" windowWidth="23256" windowHeight="13176" activeTab="1" xr2:uid="{DA11850F-F840-4292-A547-CCF001B65E6D}"/>
  </bookViews>
  <sheets>
    <sheet name="1" sheetId="3" r:id="rId1"/>
    <sheet name="macro" sheetId="4" r:id="rId2"/>
    <sheet name="2" sheetId="1" r:id="rId3"/>
    <sheet name="Database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1" i="4" l="1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J9" i="4"/>
  <c r="H9" i="4"/>
  <c r="J9" i="3"/>
  <c r="H9" i="3"/>
  <c r="J37" i="1" l="1"/>
  <c r="I37" i="1"/>
  <c r="H37" i="1"/>
  <c r="G37" i="1"/>
  <c r="F37" i="1"/>
  <c r="E37" i="1"/>
  <c r="D37" i="1"/>
  <c r="C37" i="1"/>
  <c r="B37" i="1"/>
  <c r="A37" i="1"/>
  <c r="L11" i="1"/>
  <c r="J7" i="1"/>
  <c r="J5" i="1"/>
  <c r="J3" i="1"/>
  <c r="E17" i="1"/>
  <c r="E15" i="1"/>
  <c r="E13" i="1"/>
  <c r="E11" i="1"/>
  <c r="E5" i="1"/>
  <c r="E3" i="1"/>
</calcChain>
</file>

<file path=xl/sharedStrings.xml><?xml version="1.0" encoding="utf-8"?>
<sst xmlns="http://schemas.openxmlformats.org/spreadsheetml/2006/main" count="178" uniqueCount="61">
  <si>
    <t>Student Name</t>
  </si>
  <si>
    <t>Father's Name</t>
  </si>
  <si>
    <t>Gender</t>
  </si>
  <si>
    <t>Address</t>
  </si>
  <si>
    <t>City</t>
  </si>
  <si>
    <t>State</t>
  </si>
  <si>
    <t>Pin</t>
  </si>
  <si>
    <t>Contact</t>
  </si>
  <si>
    <t>Reg. No.</t>
  </si>
  <si>
    <t>Admission Date</t>
  </si>
  <si>
    <t>Course Name</t>
  </si>
  <si>
    <t>:</t>
  </si>
  <si>
    <t>Terms and Conditions</t>
  </si>
  <si>
    <t>Fees of any course is not refundable.The registration fee will not be added to the course fee</t>
  </si>
  <si>
    <t>Karnataka</t>
  </si>
  <si>
    <t>Submit</t>
  </si>
  <si>
    <t>Clear</t>
  </si>
  <si>
    <t>PIN</t>
  </si>
  <si>
    <t>Full Stack Developer</t>
  </si>
  <si>
    <t>Jaywant Borse</t>
  </si>
  <si>
    <t>Nashik</t>
  </si>
  <si>
    <t>Maharashtra</t>
  </si>
  <si>
    <t>Data Science</t>
  </si>
  <si>
    <t>Male</t>
  </si>
  <si>
    <t>Python SQL</t>
  </si>
  <si>
    <t>Rajesh Khanna</t>
  </si>
  <si>
    <t>Manohar</t>
  </si>
  <si>
    <t>Banglore</t>
  </si>
  <si>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</si>
  <si>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</si>
  <si>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</si>
  <si>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</si>
  <si>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</si>
  <si>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</si>
  <si>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</si>
  <si>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</si>
  <si>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</si>
  <si>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</si>
  <si>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</si>
  <si>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</si>
  <si>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</si>
  <si>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</si>
  <si>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</si>
  <si>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</si>
  <si>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</si>
  <si>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</si>
  <si>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</si>
  <si>
    <t>ABC</t>
  </si>
  <si>
    <t>Bengluru</t>
  </si>
  <si>
    <t>Female</t>
  </si>
  <si>
    <t>Create a form which captures New Joinee Details and save it in a proper dataset in excel.</t>
  </si>
  <si>
    <t>Note: Assign a Macro to a 'Submit' Button</t>
  </si>
  <si>
    <t>Jaywant</t>
  </si>
  <si>
    <t>nashik</t>
  </si>
  <si>
    <t>Software Testing</t>
  </si>
  <si>
    <t>sdsdssd</t>
  </si>
  <si>
    <t>Atharva More</t>
  </si>
  <si>
    <t xml:space="preserve">Adesh Shelke </t>
  </si>
  <si>
    <t xml:space="preserve">Anas </t>
  </si>
  <si>
    <t xml:space="preserve">Piyush sharma </t>
  </si>
  <si>
    <t>Piyush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</si>
</sst>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 tint="-0.14999847407452621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3" fillId="0" borderId="0" xfId="0" applyFont="1"/>
    <xf numFmtId="0" fontId="9" fillId="0" borderId="0" xfId="0" applyFont="1"/>
    <xf numFmtId="0" fontId="0" fillId="0" borderId="2" xfId="0" applyBorder="1"/>
    <xf numFmtId="0" fontId="2" fillId="5" borderId="2" xfId="0" applyFont="1" applyFill="1" applyBorder="1"/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2"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fmlaLink="$L$15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checked="Checked" fmlaLink="$L$13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6</xdr:row>
          <xdr:rowOff>53340</xdr:rowOff>
        </xdr:from>
        <xdr:to>
          <xdr:col>3</xdr:col>
          <xdr:colOff>1059180</xdr:colOff>
          <xdr:row>6</xdr:row>
          <xdr:rowOff>274320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1607820</xdr:colOff>
          <xdr:row>6</xdr:row>
          <xdr:rowOff>60960</xdr:rowOff>
        </xdr:from>
        <xdr:to>
          <xdr:col>3</xdr:col>
          <xdr:colOff>2346960</xdr:colOff>
          <xdr:row>6</xdr:row>
          <xdr:rowOff>281940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10</xdr:row>
          <xdr:rowOff>30480</xdr:rowOff>
        </xdr:from>
        <xdr:to>
          <xdr:col>8</xdr:col>
          <xdr:colOff>327660</xdr:colOff>
          <xdr:row>10</xdr:row>
          <xdr:rowOff>304800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43794</xdr:rowOff>
        </xdr:from>
        <xdr:to>
          <xdr:col>6</xdr:col>
          <xdr:colOff>569310</xdr:colOff>
          <xdr:row>20</xdr:row>
          <xdr:rowOff>26278</xdr:rowOff>
        </xdr:to>
        <xdr:pic macro="[0]!Macro1"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1" spid="_x0000_s10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23793" y="3941380"/>
              <a:ext cx="937172" cy="35034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1871286</xdr:colOff>
          <xdr:row>18</xdr:row>
          <xdr:rowOff>37886</xdr:rowOff>
        </xdr:from>
        <xdr:to>
          <xdr:col>3</xdr:col>
          <xdr:colOff>2811086</xdr:colOff>
          <xdr:row>20</xdr:row>
          <xdr:rowOff>12486</xdr:rowOff>
        </xdr:to>
        <xdr:pic macro="[0]!Macro2"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5" spid="_x0000_s107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606953" y="3898686"/>
              <a:ext cx="939800" cy="34713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16D78-8340-4D23-8CA4-13F34C3AF1D3}">
  <sheetPr codeName="Sheet3"/>
  <dimension ref="C2:J41"/>
  <sheetViews>
    <sheetView workbookViewId="0">
      <selection activeCell="J21" sqref="J21"/>
    </sheetView>
  </sheetViews>
  <sheetFormatPr defaultRowHeight="14.4" x14ac:dyDescent="0.3"/>
  <cols>
    <col min="3" max="3" width="8.77734375" customWidth="1"/>
    <col min="4" max="4" width="12.21875" customWidth="1"/>
    <col min="5" max="5" width="14.5546875" customWidth="1"/>
    <col min="6" max="6" width="10.109375" customWidth="1"/>
    <col min="7" max="7" width="12.5546875" customWidth="1"/>
    <col min="8" max="8" width="11.88671875" bestFit="1" customWidth="1"/>
    <col min="9" max="9" width="20.77734375" customWidth="1"/>
  </cols>
  <sheetData>
    <row r="2" spans="3:10" x14ac:dyDescent="0.3">
      <c r="C2" s="16" t="s">
        <v>28</v>
      </c>
      <c r="I2" s="16" t="s">
        <v>29</v>
      </c>
    </row>
    <row r="3" spans="3:10" x14ac:dyDescent="0.3">
      <c r="C3" s="16" t="s">
        <v>30</v>
      </c>
    </row>
    <row r="4" spans="3:10" x14ac:dyDescent="0.3">
      <c r="C4" s="16" t="s">
        <v>31</v>
      </c>
    </row>
    <row r="5" spans="3:10" x14ac:dyDescent="0.3">
      <c r="C5" s="16" t="s">
        <v>32</v>
      </c>
    </row>
    <row r="6" spans="3:10" x14ac:dyDescent="0.3">
      <c r="C6" s="16" t="s">
        <v>33</v>
      </c>
    </row>
    <row r="8" spans="3:10" x14ac:dyDescent="0.3">
      <c r="C8" s="18" t="s">
        <v>34</v>
      </c>
      <c r="D8" s="18" t="s">
        <v>35</v>
      </c>
      <c r="E8" s="18" t="s">
        <v>36</v>
      </c>
      <c r="F8" s="18" t="s">
        <v>37</v>
      </c>
      <c r="G8" s="18" t="s">
        <v>38</v>
      </c>
      <c r="H8" s="18" t="s">
        <v>39</v>
      </c>
      <c r="I8" s="18" t="s">
        <v>40</v>
      </c>
      <c r="J8" s="18" t="s">
        <v>41</v>
      </c>
    </row>
    <row r="9" spans="3:10" x14ac:dyDescent="0.3">
      <c r="C9" s="17">
        <v>20847</v>
      </c>
      <c r="D9" s="17" t="s">
        <v>42</v>
      </c>
      <c r="E9" s="17">
        <v>4</v>
      </c>
      <c r="F9" s="17">
        <v>2.84</v>
      </c>
      <c r="G9" s="17">
        <v>0.93</v>
      </c>
      <c r="H9" s="17">
        <f>(E9*F9)+G9</f>
        <v>12.29</v>
      </c>
      <c r="I9" s="17">
        <v>0.54</v>
      </c>
      <c r="J9" s="17">
        <f>I9*E9-G9</f>
        <v>1.23</v>
      </c>
    </row>
    <row r="10" spans="3:10" x14ac:dyDescent="0.3">
      <c r="C10" s="17">
        <v>20228</v>
      </c>
      <c r="D10" s="17" t="s">
        <v>43</v>
      </c>
      <c r="E10" s="17">
        <v>12</v>
      </c>
      <c r="F10" s="17">
        <v>500.98</v>
      </c>
      <c r="G10" s="17">
        <v>26</v>
      </c>
      <c r="H10" s="17">
        <f t="shared" ref="H10:H41" si="0">(E10*F10)+G10</f>
        <v>6037.76</v>
      </c>
      <c r="I10" s="17">
        <v>0.6</v>
      </c>
      <c r="J10" s="17">
        <f t="shared" ref="J10:J41" si="1">I10*E10-G10</f>
        <v>-18.8</v>
      </c>
    </row>
    <row r="11" spans="3:10" x14ac:dyDescent="0.3">
      <c r="C11" s="17">
        <v>21776</v>
      </c>
      <c r="D11" s="17" t="s">
        <v>44</v>
      </c>
      <c r="E11" s="17">
        <v>22</v>
      </c>
      <c r="F11" s="17">
        <v>9.48</v>
      </c>
      <c r="G11" s="17">
        <v>7.29</v>
      </c>
      <c r="H11" s="17">
        <f t="shared" si="0"/>
        <v>215.85</v>
      </c>
      <c r="I11" s="17">
        <v>0.45</v>
      </c>
      <c r="J11" s="17">
        <f t="shared" si="1"/>
        <v>2.6100000000000003</v>
      </c>
    </row>
    <row r="12" spans="3:10" x14ac:dyDescent="0.3">
      <c r="C12" s="17">
        <v>24844</v>
      </c>
      <c r="D12" s="17" t="s">
        <v>45</v>
      </c>
      <c r="E12" s="17">
        <v>16</v>
      </c>
      <c r="F12" s="17">
        <v>78.69</v>
      </c>
      <c r="G12" s="17">
        <v>19.989999999999998</v>
      </c>
      <c r="H12" s="17">
        <f t="shared" si="0"/>
        <v>1279.03</v>
      </c>
      <c r="I12" s="17">
        <v>0.43</v>
      </c>
      <c r="J12" s="17">
        <f t="shared" si="1"/>
        <v>-13.11</v>
      </c>
    </row>
    <row r="13" spans="3:10" x14ac:dyDescent="0.3">
      <c r="C13" s="17">
        <v>24846</v>
      </c>
      <c r="D13" s="17" t="s">
        <v>45</v>
      </c>
      <c r="E13" s="17">
        <v>7</v>
      </c>
      <c r="F13" s="17">
        <v>3.28</v>
      </c>
      <c r="G13" s="17">
        <v>2.31</v>
      </c>
      <c r="H13" s="17">
        <f t="shared" si="0"/>
        <v>25.269999999999996</v>
      </c>
      <c r="I13" s="17">
        <v>0.56000000000000005</v>
      </c>
      <c r="J13" s="17">
        <f t="shared" si="1"/>
        <v>1.6100000000000003</v>
      </c>
    </row>
    <row r="14" spans="3:10" x14ac:dyDescent="0.3">
      <c r="C14" s="17">
        <v>24847</v>
      </c>
      <c r="D14" s="17" t="s">
        <v>45</v>
      </c>
      <c r="E14" s="17">
        <v>4</v>
      </c>
      <c r="F14" s="17">
        <v>3.28</v>
      </c>
      <c r="G14" s="17">
        <v>4.2</v>
      </c>
      <c r="H14" s="17">
        <f t="shared" si="0"/>
        <v>17.32</v>
      </c>
      <c r="I14" s="17">
        <v>0.56000000000000005</v>
      </c>
      <c r="J14" s="17">
        <f t="shared" si="1"/>
        <v>-1.96</v>
      </c>
    </row>
    <row r="15" spans="3:10" x14ac:dyDescent="0.3">
      <c r="C15" s="17">
        <v>24848</v>
      </c>
      <c r="D15" s="17" t="s">
        <v>45</v>
      </c>
      <c r="E15" s="17">
        <v>4</v>
      </c>
      <c r="F15" s="17">
        <v>3.58</v>
      </c>
      <c r="G15" s="17">
        <v>1.63</v>
      </c>
      <c r="H15" s="17">
        <f t="shared" si="0"/>
        <v>15.95</v>
      </c>
      <c r="I15" s="17">
        <v>0.36</v>
      </c>
      <c r="J15" s="17">
        <f t="shared" si="1"/>
        <v>-0.18999999999999995</v>
      </c>
    </row>
    <row r="16" spans="3:10" x14ac:dyDescent="0.3">
      <c r="C16" s="17">
        <v>18181</v>
      </c>
      <c r="D16" s="17" t="s">
        <v>44</v>
      </c>
      <c r="E16" s="17">
        <v>7</v>
      </c>
      <c r="F16" s="17">
        <v>4.42</v>
      </c>
      <c r="G16" s="17">
        <v>4.99</v>
      </c>
      <c r="H16" s="17">
        <f t="shared" si="0"/>
        <v>35.93</v>
      </c>
      <c r="I16" s="17">
        <v>0.38</v>
      </c>
      <c r="J16" s="17">
        <f t="shared" si="1"/>
        <v>-2.33</v>
      </c>
    </row>
    <row r="17" spans="3:10" x14ac:dyDescent="0.3">
      <c r="C17" s="17">
        <v>20925</v>
      </c>
      <c r="D17" s="17" t="s">
        <v>45</v>
      </c>
      <c r="E17" s="17">
        <v>10</v>
      </c>
      <c r="F17" s="17">
        <v>35.94</v>
      </c>
      <c r="G17" s="17">
        <v>6.66</v>
      </c>
      <c r="H17" s="17">
        <f t="shared" si="0"/>
        <v>366.06</v>
      </c>
      <c r="I17" s="17">
        <v>0.4</v>
      </c>
      <c r="J17" s="17">
        <f t="shared" si="1"/>
        <v>-2.66</v>
      </c>
    </row>
    <row r="18" spans="3:10" x14ac:dyDescent="0.3">
      <c r="C18" s="17">
        <v>26267</v>
      </c>
      <c r="D18" s="17" t="s">
        <v>42</v>
      </c>
      <c r="E18" s="17">
        <v>6</v>
      </c>
      <c r="F18" s="17">
        <v>2.98</v>
      </c>
      <c r="G18" s="17">
        <v>1.58</v>
      </c>
      <c r="H18" s="17">
        <f t="shared" si="0"/>
        <v>19.46</v>
      </c>
      <c r="I18" s="17">
        <v>0.39</v>
      </c>
      <c r="J18" s="17">
        <f t="shared" si="1"/>
        <v>0.75999999999999979</v>
      </c>
    </row>
    <row r="19" spans="3:10" x14ac:dyDescent="0.3">
      <c r="C19" s="17">
        <v>26268</v>
      </c>
      <c r="D19" s="17" t="s">
        <v>42</v>
      </c>
      <c r="E19" s="17">
        <v>10</v>
      </c>
      <c r="F19" s="17">
        <v>115.99</v>
      </c>
      <c r="G19" s="17">
        <v>2.5</v>
      </c>
      <c r="H19" s="17">
        <f t="shared" si="0"/>
        <v>1162.3999999999999</v>
      </c>
      <c r="I19" s="17">
        <v>0.55000000000000004</v>
      </c>
      <c r="J19" s="17">
        <f t="shared" si="1"/>
        <v>3</v>
      </c>
    </row>
    <row r="20" spans="3:10" x14ac:dyDescent="0.3">
      <c r="C20" s="17">
        <v>23890</v>
      </c>
      <c r="D20" s="17" t="s">
        <v>42</v>
      </c>
      <c r="E20" s="17">
        <v>17</v>
      </c>
      <c r="F20" s="17">
        <v>26.48</v>
      </c>
      <c r="G20" s="17">
        <v>6.93</v>
      </c>
      <c r="H20" s="17">
        <f t="shared" si="0"/>
        <v>457.09000000000003</v>
      </c>
      <c r="I20" s="17">
        <v>0.49</v>
      </c>
      <c r="J20" s="17">
        <f t="shared" si="1"/>
        <v>1.4000000000000004</v>
      </c>
    </row>
    <row r="21" spans="3:10" x14ac:dyDescent="0.3">
      <c r="C21" s="17">
        <v>24063</v>
      </c>
      <c r="D21" s="17" t="s">
        <v>43</v>
      </c>
      <c r="E21" s="17">
        <v>18</v>
      </c>
      <c r="F21" s="17">
        <v>12.99</v>
      </c>
      <c r="G21" s="17">
        <v>9.44</v>
      </c>
      <c r="H21" s="17">
        <f t="shared" si="0"/>
        <v>243.26</v>
      </c>
      <c r="I21" s="17">
        <v>0.39</v>
      </c>
      <c r="J21" s="17">
        <f t="shared" si="1"/>
        <v>-2.419999999999999</v>
      </c>
    </row>
    <row r="22" spans="3:10" x14ac:dyDescent="0.3">
      <c r="C22" s="17">
        <v>5890</v>
      </c>
      <c r="D22" s="17" t="s">
        <v>42</v>
      </c>
      <c r="E22" s="17">
        <v>70</v>
      </c>
      <c r="F22" s="17">
        <v>26.48</v>
      </c>
      <c r="G22" s="17">
        <v>6.93</v>
      </c>
      <c r="H22" s="17">
        <f t="shared" si="0"/>
        <v>1860.5300000000002</v>
      </c>
      <c r="I22" s="17">
        <v>0.49</v>
      </c>
      <c r="J22" s="17">
        <f t="shared" si="1"/>
        <v>27.369999999999997</v>
      </c>
    </row>
    <row r="23" spans="3:10" x14ac:dyDescent="0.3">
      <c r="C23" s="17">
        <v>6062</v>
      </c>
      <c r="D23" s="17" t="s">
        <v>43</v>
      </c>
      <c r="E23" s="17">
        <v>58</v>
      </c>
      <c r="F23" s="17">
        <v>5</v>
      </c>
      <c r="G23" s="17">
        <v>3.39</v>
      </c>
      <c r="H23" s="17">
        <f t="shared" si="0"/>
        <v>293.39</v>
      </c>
      <c r="I23" s="17">
        <v>0.37</v>
      </c>
      <c r="J23" s="17">
        <f t="shared" si="1"/>
        <v>18.07</v>
      </c>
    </row>
    <row r="24" spans="3:10" x14ac:dyDescent="0.3">
      <c r="C24" s="17">
        <v>6063</v>
      </c>
      <c r="D24" s="17" t="s">
        <v>43</v>
      </c>
      <c r="E24" s="17">
        <v>71</v>
      </c>
      <c r="F24" s="17">
        <v>12.99</v>
      </c>
      <c r="G24" s="17">
        <v>9.44</v>
      </c>
      <c r="H24" s="17">
        <f t="shared" si="0"/>
        <v>931.73</v>
      </c>
      <c r="I24" s="17">
        <v>0.39</v>
      </c>
      <c r="J24" s="17">
        <f t="shared" si="1"/>
        <v>18.25</v>
      </c>
    </row>
    <row r="25" spans="3:10" x14ac:dyDescent="0.3">
      <c r="C25" s="17">
        <v>20631</v>
      </c>
      <c r="D25" s="17" t="s">
        <v>42</v>
      </c>
      <c r="E25" s="17">
        <v>1</v>
      </c>
      <c r="F25" s="17">
        <v>55.48</v>
      </c>
      <c r="G25" s="17">
        <v>14.3</v>
      </c>
      <c r="H25" s="17">
        <f t="shared" si="0"/>
        <v>69.78</v>
      </c>
      <c r="I25" s="17">
        <v>0.37</v>
      </c>
      <c r="J25" s="17">
        <f t="shared" si="1"/>
        <v>-13.930000000000001</v>
      </c>
    </row>
    <row r="26" spans="3:10" x14ac:dyDescent="0.3">
      <c r="C26" s="17">
        <v>20632</v>
      </c>
      <c r="D26" s="17" t="s">
        <v>42</v>
      </c>
      <c r="E26" s="17">
        <v>1</v>
      </c>
      <c r="F26" s="17">
        <v>1.68</v>
      </c>
      <c r="G26" s="17">
        <v>1.57</v>
      </c>
      <c r="H26" s="17">
        <f t="shared" si="0"/>
        <v>3.25</v>
      </c>
      <c r="I26" s="17">
        <v>0.59</v>
      </c>
      <c r="J26" s="17">
        <f t="shared" si="1"/>
        <v>-0.98000000000000009</v>
      </c>
    </row>
    <row r="27" spans="3:10" x14ac:dyDescent="0.3">
      <c r="C27" s="17">
        <v>23967</v>
      </c>
      <c r="D27" s="17" t="s">
        <v>43</v>
      </c>
      <c r="E27" s="17">
        <v>12</v>
      </c>
      <c r="F27" s="17">
        <v>4.1399999999999997</v>
      </c>
      <c r="G27" s="17">
        <v>6.6</v>
      </c>
      <c r="H27" s="17">
        <f t="shared" si="0"/>
        <v>56.279999999999994</v>
      </c>
      <c r="I27" s="17">
        <v>0.49</v>
      </c>
      <c r="J27" s="17">
        <f t="shared" si="1"/>
        <v>-0.71999999999999975</v>
      </c>
    </row>
    <row r="28" spans="3:10" x14ac:dyDescent="0.3">
      <c r="C28" s="17">
        <v>23509</v>
      </c>
      <c r="D28" s="17" t="s">
        <v>42</v>
      </c>
      <c r="E28" s="17">
        <v>13</v>
      </c>
      <c r="F28" s="17">
        <v>34.99</v>
      </c>
      <c r="G28" s="17">
        <v>7.73</v>
      </c>
      <c r="H28" s="17">
        <f t="shared" si="0"/>
        <v>462.6</v>
      </c>
      <c r="I28" s="17">
        <v>0.59</v>
      </c>
      <c r="J28" s="17">
        <f t="shared" si="1"/>
        <v>-6.0000000000000497E-2</v>
      </c>
    </row>
    <row r="29" spans="3:10" x14ac:dyDescent="0.3">
      <c r="C29" s="17">
        <v>23612</v>
      </c>
      <c r="D29" s="17" t="s">
        <v>42</v>
      </c>
      <c r="E29" s="17">
        <v>2</v>
      </c>
      <c r="F29" s="17">
        <v>17.98</v>
      </c>
      <c r="G29" s="17">
        <v>8.51</v>
      </c>
      <c r="H29" s="17">
        <f t="shared" si="0"/>
        <v>44.47</v>
      </c>
      <c r="I29" s="17">
        <v>0.4</v>
      </c>
      <c r="J29" s="17">
        <f t="shared" si="1"/>
        <v>-7.71</v>
      </c>
    </row>
    <row r="30" spans="3:10" x14ac:dyDescent="0.3">
      <c r="C30" s="17">
        <v>23278</v>
      </c>
      <c r="D30" s="17" t="s">
        <v>45</v>
      </c>
      <c r="E30" s="17">
        <v>8</v>
      </c>
      <c r="F30" s="17">
        <v>125.99</v>
      </c>
      <c r="G30" s="17">
        <v>7.69</v>
      </c>
      <c r="H30" s="17">
        <f t="shared" si="0"/>
        <v>1015.61</v>
      </c>
      <c r="I30" s="17">
        <v>0.59</v>
      </c>
      <c r="J30" s="17">
        <f t="shared" si="1"/>
        <v>-2.9700000000000006</v>
      </c>
    </row>
    <row r="31" spans="3:10" x14ac:dyDescent="0.3">
      <c r="C31" s="17">
        <v>19355</v>
      </c>
      <c r="D31" s="17" t="s">
        <v>46</v>
      </c>
      <c r="E31" s="17">
        <v>22</v>
      </c>
      <c r="F31" s="17">
        <v>205.99</v>
      </c>
      <c r="G31" s="17">
        <v>8.99</v>
      </c>
      <c r="H31" s="17">
        <f t="shared" si="0"/>
        <v>4540.7700000000004</v>
      </c>
      <c r="I31" s="17">
        <v>0.56000000000000005</v>
      </c>
      <c r="J31" s="17">
        <f t="shared" si="1"/>
        <v>3.33</v>
      </c>
    </row>
    <row r="32" spans="3:10" x14ac:dyDescent="0.3">
      <c r="C32" s="17">
        <v>23654</v>
      </c>
      <c r="D32" s="17" t="s">
        <v>43</v>
      </c>
      <c r="E32" s="17">
        <v>13</v>
      </c>
      <c r="F32" s="17">
        <v>4.24</v>
      </c>
      <c r="G32" s="17">
        <v>5.41</v>
      </c>
      <c r="H32" s="17">
        <f t="shared" si="0"/>
        <v>60.53</v>
      </c>
      <c r="I32" s="17">
        <v>0.35</v>
      </c>
      <c r="J32" s="17">
        <f t="shared" si="1"/>
        <v>-0.86000000000000032</v>
      </c>
    </row>
    <row r="33" spans="3:10" x14ac:dyDescent="0.3">
      <c r="C33" s="17">
        <v>23655</v>
      </c>
      <c r="D33" s="17" t="s">
        <v>43</v>
      </c>
      <c r="E33" s="17">
        <v>18</v>
      </c>
      <c r="F33" s="17">
        <v>2.94</v>
      </c>
      <c r="G33" s="17">
        <v>0.7</v>
      </c>
      <c r="H33" s="17">
        <f t="shared" si="0"/>
        <v>53.620000000000005</v>
      </c>
      <c r="I33" s="17">
        <v>0.57999999999999996</v>
      </c>
      <c r="J33" s="17">
        <f t="shared" si="1"/>
        <v>9.74</v>
      </c>
    </row>
    <row r="34" spans="3:10" x14ac:dyDescent="0.3">
      <c r="C34" s="17">
        <v>25933</v>
      </c>
      <c r="D34" s="17" t="s">
        <v>42</v>
      </c>
      <c r="E34" s="17">
        <v>6</v>
      </c>
      <c r="F34" s="17">
        <v>99.99</v>
      </c>
      <c r="G34" s="17">
        <v>19.989999999999998</v>
      </c>
      <c r="H34" s="17">
        <f t="shared" si="0"/>
        <v>619.92999999999995</v>
      </c>
      <c r="I34" s="17">
        <v>0.52</v>
      </c>
      <c r="J34" s="17">
        <f t="shared" si="1"/>
        <v>-16.869999999999997</v>
      </c>
    </row>
    <row r="35" spans="3:10" x14ac:dyDescent="0.3">
      <c r="C35" s="17">
        <v>20697</v>
      </c>
      <c r="D35" s="17" t="s">
        <v>45</v>
      </c>
      <c r="E35" s="17">
        <v>6</v>
      </c>
      <c r="F35" s="17">
        <v>115.99</v>
      </c>
      <c r="G35" s="17">
        <v>2.5</v>
      </c>
      <c r="H35" s="17">
        <f t="shared" si="0"/>
        <v>698.43999999999994</v>
      </c>
      <c r="I35" s="17">
        <v>0.56999999999999995</v>
      </c>
      <c r="J35" s="17">
        <f t="shared" si="1"/>
        <v>0.91999999999999993</v>
      </c>
    </row>
    <row r="36" spans="3:10" x14ac:dyDescent="0.3">
      <c r="C36" s="17">
        <v>20698</v>
      </c>
      <c r="D36" s="17" t="s">
        <v>45</v>
      </c>
      <c r="E36" s="17">
        <v>1</v>
      </c>
      <c r="F36" s="17">
        <v>3502.14</v>
      </c>
      <c r="G36" s="17">
        <v>8.73</v>
      </c>
      <c r="H36" s="17">
        <f t="shared" si="0"/>
        <v>3510.87</v>
      </c>
      <c r="I36" s="17">
        <v>0.56999999999999995</v>
      </c>
      <c r="J36" s="17">
        <f t="shared" si="1"/>
        <v>-8.16</v>
      </c>
    </row>
    <row r="37" spans="3:10" x14ac:dyDescent="0.3">
      <c r="C37" s="17">
        <v>22890</v>
      </c>
      <c r="D37" s="17" t="s">
        <v>42</v>
      </c>
      <c r="E37" s="17">
        <v>17</v>
      </c>
      <c r="F37" s="17">
        <v>175.99</v>
      </c>
      <c r="G37" s="17">
        <v>5.79</v>
      </c>
      <c r="H37" s="17">
        <f t="shared" si="0"/>
        <v>2997.62</v>
      </c>
      <c r="I37" s="17">
        <v>0.36</v>
      </c>
      <c r="J37" s="17">
        <f t="shared" si="1"/>
        <v>0.33000000000000007</v>
      </c>
    </row>
    <row r="38" spans="3:10" x14ac:dyDescent="0.3">
      <c r="C38" s="17">
        <v>25354</v>
      </c>
      <c r="D38" s="17" t="s">
        <v>42</v>
      </c>
      <c r="E38" s="17">
        <v>20</v>
      </c>
      <c r="F38" s="17">
        <v>155.06</v>
      </c>
      <c r="G38" s="17">
        <v>1.49</v>
      </c>
      <c r="H38" s="17">
        <f t="shared" si="0"/>
        <v>3102.6899999999996</v>
      </c>
      <c r="I38" s="17">
        <v>0.38</v>
      </c>
      <c r="J38" s="17">
        <f t="shared" si="1"/>
        <v>6.1099999999999994</v>
      </c>
    </row>
    <row r="39" spans="3:10" x14ac:dyDescent="0.3">
      <c r="C39" s="17">
        <v>21017</v>
      </c>
      <c r="D39" s="17" t="s">
        <v>43</v>
      </c>
      <c r="E39" s="17">
        <v>17</v>
      </c>
      <c r="F39" s="17">
        <v>5.98</v>
      </c>
      <c r="G39" s="17">
        <v>0.7</v>
      </c>
      <c r="H39" s="17">
        <f t="shared" si="0"/>
        <v>102.36000000000001</v>
      </c>
      <c r="I39" s="17">
        <v>0.56000000000000005</v>
      </c>
      <c r="J39" s="17">
        <f t="shared" si="1"/>
        <v>8.8200000000000021</v>
      </c>
    </row>
    <row r="40" spans="3:10" x14ac:dyDescent="0.3">
      <c r="C40" s="17">
        <v>21019</v>
      </c>
      <c r="D40" s="17" t="s">
        <v>43</v>
      </c>
      <c r="E40" s="17">
        <v>3</v>
      </c>
      <c r="F40" s="17">
        <v>29.14</v>
      </c>
      <c r="G40" s="17">
        <v>5.15</v>
      </c>
      <c r="H40" s="17">
        <f t="shared" si="0"/>
        <v>92.570000000000007</v>
      </c>
      <c r="I40" s="17">
        <v>0.36</v>
      </c>
      <c r="J40" s="17">
        <f t="shared" si="1"/>
        <v>-4.07</v>
      </c>
    </row>
    <row r="41" spans="3:10" x14ac:dyDescent="0.3">
      <c r="C41" s="17">
        <v>23274</v>
      </c>
      <c r="D41" s="17" t="s">
        <v>46</v>
      </c>
      <c r="E41" s="17">
        <v>17</v>
      </c>
      <c r="F41" s="17">
        <v>3.69</v>
      </c>
      <c r="G41" s="17">
        <v>4.8600000000000003</v>
      </c>
      <c r="H41" s="17">
        <f t="shared" si="0"/>
        <v>67.59</v>
      </c>
      <c r="I41" s="17">
        <v>0.38</v>
      </c>
      <c r="J41" s="17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FDE1A-F18A-468C-ABAC-5C8C599DE96E}">
  <sheetPr codeName="Sheet4"/>
  <dimension ref="C8:J41"/>
  <sheetViews>
    <sheetView tabSelected="1" workbookViewId="0">
      <selection activeCell="K8" sqref="K8"/>
    </sheetView>
  </sheetViews>
  <sheetFormatPr defaultRowHeight="14.4" x14ac:dyDescent="0.3"/>
  <cols>
    <col min="3" max="3" width="6.88671875" bestFit="1" customWidth="1"/>
    <col min="4" max="4" width="14.21875" customWidth="1"/>
    <col min="5" max="5" width="16.6640625" customWidth="1"/>
    <col min="7" max="7" width="12.5546875" customWidth="1"/>
    <col min="8" max="8" width="11.88671875" bestFit="1" customWidth="1"/>
    <col min="9" max="9" width="21.33203125" customWidth="1"/>
  </cols>
  <sheetData>
    <row r="8" spans="3:10" x14ac:dyDescent="0.3">
      <c r="C8" s="18" t="s">
        <v>34</v>
      </c>
      <c r="D8" s="18" t="s">
        <v>35</v>
      </c>
      <c r="E8" s="18" t="s">
        <v>36</v>
      </c>
      <c r="F8" s="18" t="s">
        <v>37</v>
      </c>
      <c r="G8" s="18" t="s">
        <v>38</v>
      </c>
      <c r="H8" s="18" t="s">
        <v>39</v>
      </c>
      <c r="I8" s="18" t="s">
        <v>40</v>
      </c>
      <c r="J8" s="18" t="s">
        <v>41</v>
      </c>
    </row>
    <row r="9" spans="3:10" x14ac:dyDescent="0.3">
      <c r="C9" s="17">
        <v>20847</v>
      </c>
      <c r="D9" s="17" t="s">
        <v>42</v>
      </c>
      <c r="E9" s="17">
        <v>4</v>
      </c>
      <c r="F9" s="17">
        <v>2.84</v>
      </c>
      <c r="G9" s="17">
        <v>0.93</v>
      </c>
      <c r="H9" s="17">
        <f>(E9*F9)+G9</f>
        <v>12.29</v>
      </c>
      <c r="I9" s="17">
        <v>0.54</v>
      </c>
      <c r="J9" s="17">
        <f>I9*E9-G9</f>
        <v>1.23</v>
      </c>
    </row>
    <row r="10" spans="3:10" x14ac:dyDescent="0.3">
      <c r="C10" s="17">
        <v>20228</v>
      </c>
      <c r="D10" s="17" t="s">
        <v>43</v>
      </c>
      <c r="E10" s="17">
        <v>12</v>
      </c>
      <c r="F10" s="17">
        <v>500.98</v>
      </c>
      <c r="G10" s="17">
        <v>26</v>
      </c>
      <c r="H10" s="17">
        <f t="shared" ref="H10:H41" si="0">(E10*F10)+G10</f>
        <v>6037.76</v>
      </c>
      <c r="I10" s="17">
        <v>0.6</v>
      </c>
      <c r="J10" s="17">
        <f t="shared" ref="J10:J41" si="1">I10*E10-G10</f>
        <v>-18.8</v>
      </c>
    </row>
    <row r="11" spans="3:10" x14ac:dyDescent="0.3">
      <c r="C11" s="17">
        <v>21776</v>
      </c>
      <c r="D11" s="17" t="s">
        <v>44</v>
      </c>
      <c r="E11" s="17">
        <v>22</v>
      </c>
      <c r="F11" s="17">
        <v>9.48</v>
      </c>
      <c r="G11" s="17">
        <v>7.29</v>
      </c>
      <c r="H11" s="17">
        <f t="shared" si="0"/>
        <v>215.85</v>
      </c>
      <c r="I11" s="17">
        <v>0.45</v>
      </c>
      <c r="J11" s="17">
        <f t="shared" si="1"/>
        <v>2.6100000000000003</v>
      </c>
    </row>
    <row r="12" spans="3:10" x14ac:dyDescent="0.3">
      <c r="C12" s="17">
        <v>24844</v>
      </c>
      <c r="D12" s="17" t="s">
        <v>45</v>
      </c>
      <c r="E12" s="17">
        <v>16</v>
      </c>
      <c r="F12" s="17">
        <v>78.69</v>
      </c>
      <c r="G12" s="17">
        <v>19.989999999999998</v>
      </c>
      <c r="H12" s="17">
        <f t="shared" si="0"/>
        <v>1279.03</v>
      </c>
      <c r="I12" s="17">
        <v>0.43</v>
      </c>
      <c r="J12" s="17">
        <f t="shared" si="1"/>
        <v>-13.11</v>
      </c>
    </row>
    <row r="13" spans="3:10" x14ac:dyDescent="0.3">
      <c r="C13" s="17">
        <v>24846</v>
      </c>
      <c r="D13" s="17" t="s">
        <v>45</v>
      </c>
      <c r="E13" s="17">
        <v>7</v>
      </c>
      <c r="F13" s="17">
        <v>3.28</v>
      </c>
      <c r="G13" s="17">
        <v>2.31</v>
      </c>
      <c r="H13" s="17">
        <f t="shared" si="0"/>
        <v>25.269999999999996</v>
      </c>
      <c r="I13" s="17">
        <v>0.56000000000000005</v>
      </c>
      <c r="J13" s="17">
        <f t="shared" si="1"/>
        <v>1.6100000000000003</v>
      </c>
    </row>
    <row r="14" spans="3:10" x14ac:dyDescent="0.3">
      <c r="C14" s="17">
        <v>24847</v>
      </c>
      <c r="D14" s="17" t="s">
        <v>45</v>
      </c>
      <c r="E14" s="17">
        <v>4</v>
      </c>
      <c r="F14" s="17">
        <v>3.28</v>
      </c>
      <c r="G14" s="17">
        <v>4.2</v>
      </c>
      <c r="H14" s="17">
        <f t="shared" si="0"/>
        <v>17.32</v>
      </c>
      <c r="I14" s="17">
        <v>0.56000000000000005</v>
      </c>
      <c r="J14" s="17">
        <f t="shared" si="1"/>
        <v>-1.96</v>
      </c>
    </row>
    <row r="15" spans="3:10" x14ac:dyDescent="0.3">
      <c r="C15" s="17">
        <v>24848</v>
      </c>
      <c r="D15" s="17" t="s">
        <v>45</v>
      </c>
      <c r="E15" s="17">
        <v>4</v>
      </c>
      <c r="F15" s="17">
        <v>3.58</v>
      </c>
      <c r="G15" s="17">
        <v>1.63</v>
      </c>
      <c r="H15" s="17">
        <f t="shared" si="0"/>
        <v>15.95</v>
      </c>
      <c r="I15" s="17">
        <v>0.36</v>
      </c>
      <c r="J15" s="17">
        <f t="shared" si="1"/>
        <v>-0.18999999999999995</v>
      </c>
    </row>
    <row r="16" spans="3:10" x14ac:dyDescent="0.3">
      <c r="C16" s="17">
        <v>18181</v>
      </c>
      <c r="D16" s="17" t="s">
        <v>44</v>
      </c>
      <c r="E16" s="17">
        <v>7</v>
      </c>
      <c r="F16" s="17">
        <v>4.42</v>
      </c>
      <c r="G16" s="17">
        <v>4.99</v>
      </c>
      <c r="H16" s="17">
        <f t="shared" si="0"/>
        <v>35.93</v>
      </c>
      <c r="I16" s="17">
        <v>0.38</v>
      </c>
      <c r="J16" s="17">
        <f t="shared" si="1"/>
        <v>-2.33</v>
      </c>
    </row>
    <row r="17" spans="3:10" x14ac:dyDescent="0.3">
      <c r="C17" s="17">
        <v>20925</v>
      </c>
      <c r="D17" s="17" t="s">
        <v>45</v>
      </c>
      <c r="E17" s="17">
        <v>10</v>
      </c>
      <c r="F17" s="17">
        <v>35.94</v>
      </c>
      <c r="G17" s="17">
        <v>6.66</v>
      </c>
      <c r="H17" s="17">
        <f t="shared" si="0"/>
        <v>366.06</v>
      </c>
      <c r="I17" s="17">
        <v>0.4</v>
      </c>
      <c r="J17" s="17">
        <f t="shared" si="1"/>
        <v>-2.66</v>
      </c>
    </row>
    <row r="18" spans="3:10" x14ac:dyDescent="0.3">
      <c r="C18" s="17">
        <v>26267</v>
      </c>
      <c r="D18" s="17" t="s">
        <v>42</v>
      </c>
      <c r="E18" s="17">
        <v>6</v>
      </c>
      <c r="F18" s="17">
        <v>2.98</v>
      </c>
      <c r="G18" s="17">
        <v>1.58</v>
      </c>
      <c r="H18" s="17">
        <f t="shared" si="0"/>
        <v>19.46</v>
      </c>
      <c r="I18" s="17">
        <v>0.39</v>
      </c>
      <c r="J18" s="17">
        <f t="shared" si="1"/>
        <v>0.75999999999999979</v>
      </c>
    </row>
    <row r="19" spans="3:10" x14ac:dyDescent="0.3">
      <c r="C19" s="17">
        <v>26268</v>
      </c>
      <c r="D19" s="17" t="s">
        <v>42</v>
      </c>
      <c r="E19" s="17">
        <v>10</v>
      </c>
      <c r="F19" s="17">
        <v>115.99</v>
      </c>
      <c r="G19" s="17">
        <v>2.5</v>
      </c>
      <c r="H19" s="17">
        <f t="shared" si="0"/>
        <v>1162.3999999999999</v>
      </c>
      <c r="I19" s="17">
        <v>0.55000000000000004</v>
      </c>
      <c r="J19" s="17">
        <f t="shared" si="1"/>
        <v>3</v>
      </c>
    </row>
    <row r="20" spans="3:10" x14ac:dyDescent="0.3">
      <c r="C20" s="17">
        <v>23890</v>
      </c>
      <c r="D20" s="17" t="s">
        <v>42</v>
      </c>
      <c r="E20" s="17">
        <v>17</v>
      </c>
      <c r="F20" s="17">
        <v>26.48</v>
      </c>
      <c r="G20" s="17">
        <v>6.93</v>
      </c>
      <c r="H20" s="17">
        <f t="shared" si="0"/>
        <v>457.09000000000003</v>
      </c>
      <c r="I20" s="17">
        <v>0.49</v>
      </c>
      <c r="J20" s="17">
        <f t="shared" si="1"/>
        <v>1.4000000000000004</v>
      </c>
    </row>
    <row r="21" spans="3:10" x14ac:dyDescent="0.3">
      <c r="C21" s="17">
        <v>24063</v>
      </c>
      <c r="D21" s="17" t="s">
        <v>43</v>
      </c>
      <c r="E21" s="17">
        <v>18</v>
      </c>
      <c r="F21" s="17">
        <v>12.99</v>
      </c>
      <c r="G21" s="17">
        <v>9.44</v>
      </c>
      <c r="H21" s="17">
        <f t="shared" si="0"/>
        <v>243.26</v>
      </c>
      <c r="I21" s="17">
        <v>0.39</v>
      </c>
      <c r="J21" s="17">
        <f t="shared" si="1"/>
        <v>-2.419999999999999</v>
      </c>
    </row>
    <row r="22" spans="3:10" x14ac:dyDescent="0.3">
      <c r="C22" s="17">
        <v>5890</v>
      </c>
      <c r="D22" s="17" t="s">
        <v>42</v>
      </c>
      <c r="E22" s="17">
        <v>70</v>
      </c>
      <c r="F22" s="17">
        <v>26.48</v>
      </c>
      <c r="G22" s="17">
        <v>6.93</v>
      </c>
      <c r="H22" s="17">
        <f t="shared" si="0"/>
        <v>1860.5300000000002</v>
      </c>
      <c r="I22" s="17">
        <v>0.49</v>
      </c>
      <c r="J22" s="17">
        <f t="shared" si="1"/>
        <v>27.369999999999997</v>
      </c>
    </row>
    <row r="23" spans="3:10" x14ac:dyDescent="0.3">
      <c r="C23" s="17">
        <v>6062</v>
      </c>
      <c r="D23" s="17" t="s">
        <v>43</v>
      </c>
      <c r="E23" s="17">
        <v>58</v>
      </c>
      <c r="F23" s="17">
        <v>5</v>
      </c>
      <c r="G23" s="17">
        <v>3.39</v>
      </c>
      <c r="H23" s="17">
        <f t="shared" si="0"/>
        <v>293.39</v>
      </c>
      <c r="I23" s="17">
        <v>0.37</v>
      </c>
      <c r="J23" s="17">
        <f t="shared" si="1"/>
        <v>18.07</v>
      </c>
    </row>
    <row r="24" spans="3:10" x14ac:dyDescent="0.3">
      <c r="C24" s="17">
        <v>6063</v>
      </c>
      <c r="D24" s="17" t="s">
        <v>43</v>
      </c>
      <c r="E24" s="17">
        <v>71</v>
      </c>
      <c r="F24" s="17">
        <v>12.99</v>
      </c>
      <c r="G24" s="17">
        <v>9.44</v>
      </c>
      <c r="H24" s="17">
        <f t="shared" si="0"/>
        <v>931.73</v>
      </c>
      <c r="I24" s="17">
        <v>0.39</v>
      </c>
      <c r="J24" s="17">
        <f t="shared" si="1"/>
        <v>18.25</v>
      </c>
    </row>
    <row r="25" spans="3:10" x14ac:dyDescent="0.3">
      <c r="C25" s="17">
        <v>20631</v>
      </c>
      <c r="D25" s="17" t="s">
        <v>42</v>
      </c>
      <c r="E25" s="17">
        <v>1</v>
      </c>
      <c r="F25" s="17">
        <v>55.48</v>
      </c>
      <c r="G25" s="17">
        <v>14.3</v>
      </c>
      <c r="H25" s="17">
        <f t="shared" si="0"/>
        <v>69.78</v>
      </c>
      <c r="I25" s="17">
        <v>0.37</v>
      </c>
      <c r="J25" s="17">
        <f t="shared" si="1"/>
        <v>-13.930000000000001</v>
      </c>
    </row>
    <row r="26" spans="3:10" x14ac:dyDescent="0.3">
      <c r="C26" s="17">
        <v>20632</v>
      </c>
      <c r="D26" s="17" t="s">
        <v>42</v>
      </c>
      <c r="E26" s="17">
        <v>1</v>
      </c>
      <c r="F26" s="17">
        <v>1.68</v>
      </c>
      <c r="G26" s="17">
        <v>1.57</v>
      </c>
      <c r="H26" s="17">
        <f t="shared" si="0"/>
        <v>3.25</v>
      </c>
      <c r="I26" s="17">
        <v>0.59</v>
      </c>
      <c r="J26" s="17">
        <f t="shared" si="1"/>
        <v>-0.98000000000000009</v>
      </c>
    </row>
    <row r="27" spans="3:10" x14ac:dyDescent="0.3">
      <c r="C27" s="17">
        <v>23967</v>
      </c>
      <c r="D27" s="17" t="s">
        <v>43</v>
      </c>
      <c r="E27" s="17">
        <v>12</v>
      </c>
      <c r="F27" s="17">
        <v>4.1399999999999997</v>
      </c>
      <c r="G27" s="17">
        <v>6.6</v>
      </c>
      <c r="H27" s="17">
        <f t="shared" si="0"/>
        <v>56.279999999999994</v>
      </c>
      <c r="I27" s="17">
        <v>0.49</v>
      </c>
      <c r="J27" s="17">
        <f t="shared" si="1"/>
        <v>-0.71999999999999975</v>
      </c>
    </row>
    <row r="28" spans="3:10" x14ac:dyDescent="0.3">
      <c r="C28" s="17">
        <v>23509</v>
      </c>
      <c r="D28" s="17" t="s">
        <v>42</v>
      </c>
      <c r="E28" s="17">
        <v>13</v>
      </c>
      <c r="F28" s="17">
        <v>34.99</v>
      </c>
      <c r="G28" s="17">
        <v>7.73</v>
      </c>
      <c r="H28" s="17">
        <f t="shared" si="0"/>
        <v>462.6</v>
      </c>
      <c r="I28" s="17">
        <v>0.59</v>
      </c>
      <c r="J28" s="17">
        <f t="shared" si="1"/>
        <v>-6.0000000000000497E-2</v>
      </c>
    </row>
    <row r="29" spans="3:10" x14ac:dyDescent="0.3">
      <c r="C29" s="17">
        <v>23612</v>
      </c>
      <c r="D29" s="17" t="s">
        <v>42</v>
      </c>
      <c r="E29" s="17">
        <v>2</v>
      </c>
      <c r="F29" s="17">
        <v>17.98</v>
      </c>
      <c r="G29" s="17">
        <v>8.51</v>
      </c>
      <c r="H29" s="17">
        <f t="shared" si="0"/>
        <v>44.47</v>
      </c>
      <c r="I29" s="17">
        <v>0.4</v>
      </c>
      <c r="J29" s="17">
        <f t="shared" si="1"/>
        <v>-7.71</v>
      </c>
    </row>
    <row r="30" spans="3:10" x14ac:dyDescent="0.3">
      <c r="C30" s="17">
        <v>23278</v>
      </c>
      <c r="D30" s="17" t="s">
        <v>45</v>
      </c>
      <c r="E30" s="17">
        <v>8</v>
      </c>
      <c r="F30" s="17">
        <v>125.99</v>
      </c>
      <c r="G30" s="17">
        <v>7.69</v>
      </c>
      <c r="H30" s="17">
        <f t="shared" si="0"/>
        <v>1015.61</v>
      </c>
      <c r="I30" s="17">
        <v>0.59</v>
      </c>
      <c r="J30" s="17">
        <f t="shared" si="1"/>
        <v>-2.9700000000000006</v>
      </c>
    </row>
    <row r="31" spans="3:10" x14ac:dyDescent="0.3">
      <c r="C31" s="17">
        <v>19355</v>
      </c>
      <c r="D31" s="17" t="s">
        <v>46</v>
      </c>
      <c r="E31" s="17">
        <v>22</v>
      </c>
      <c r="F31" s="17">
        <v>205.99</v>
      </c>
      <c r="G31" s="17">
        <v>8.99</v>
      </c>
      <c r="H31" s="17">
        <f t="shared" si="0"/>
        <v>4540.7700000000004</v>
      </c>
      <c r="I31" s="17">
        <v>0.56000000000000005</v>
      </c>
      <c r="J31" s="17">
        <f t="shared" si="1"/>
        <v>3.33</v>
      </c>
    </row>
    <row r="32" spans="3:10" x14ac:dyDescent="0.3">
      <c r="C32" s="17">
        <v>23654</v>
      </c>
      <c r="D32" s="17" t="s">
        <v>43</v>
      </c>
      <c r="E32" s="17">
        <v>13</v>
      </c>
      <c r="F32" s="17">
        <v>4.24</v>
      </c>
      <c r="G32" s="17">
        <v>5.41</v>
      </c>
      <c r="H32" s="17">
        <f t="shared" si="0"/>
        <v>60.53</v>
      </c>
      <c r="I32" s="17">
        <v>0.35</v>
      </c>
      <c r="J32" s="17">
        <f t="shared" si="1"/>
        <v>-0.86000000000000032</v>
      </c>
    </row>
    <row r="33" spans="3:10" x14ac:dyDescent="0.3">
      <c r="C33" s="17">
        <v>23655</v>
      </c>
      <c r="D33" s="17" t="s">
        <v>43</v>
      </c>
      <c r="E33" s="17">
        <v>18</v>
      </c>
      <c r="F33" s="17">
        <v>2.94</v>
      </c>
      <c r="G33" s="17">
        <v>0.7</v>
      </c>
      <c r="H33" s="17">
        <f t="shared" si="0"/>
        <v>53.620000000000005</v>
      </c>
      <c r="I33" s="17">
        <v>0.57999999999999996</v>
      </c>
      <c r="J33" s="17">
        <f t="shared" si="1"/>
        <v>9.74</v>
      </c>
    </row>
    <row r="34" spans="3:10" x14ac:dyDescent="0.3">
      <c r="C34" s="17">
        <v>25933</v>
      </c>
      <c r="D34" s="17" t="s">
        <v>42</v>
      </c>
      <c r="E34" s="17">
        <v>6</v>
      </c>
      <c r="F34" s="17">
        <v>99.99</v>
      </c>
      <c r="G34" s="17">
        <v>19.989999999999998</v>
      </c>
      <c r="H34" s="17">
        <f t="shared" si="0"/>
        <v>619.92999999999995</v>
      </c>
      <c r="I34" s="17">
        <v>0.52</v>
      </c>
      <c r="J34" s="17">
        <f t="shared" si="1"/>
        <v>-16.869999999999997</v>
      </c>
    </row>
    <row r="35" spans="3:10" x14ac:dyDescent="0.3">
      <c r="C35" s="17">
        <v>20697</v>
      </c>
      <c r="D35" s="17" t="s">
        <v>45</v>
      </c>
      <c r="E35" s="17">
        <v>6</v>
      </c>
      <c r="F35" s="17">
        <v>115.99</v>
      </c>
      <c r="G35" s="17">
        <v>2.5</v>
      </c>
      <c r="H35" s="17">
        <f t="shared" si="0"/>
        <v>698.43999999999994</v>
      </c>
      <c r="I35" s="17">
        <v>0.56999999999999995</v>
      </c>
      <c r="J35" s="17">
        <f t="shared" si="1"/>
        <v>0.91999999999999993</v>
      </c>
    </row>
    <row r="36" spans="3:10" x14ac:dyDescent="0.3">
      <c r="C36" s="17">
        <v>20698</v>
      </c>
      <c r="D36" s="17" t="s">
        <v>45</v>
      </c>
      <c r="E36" s="17">
        <v>1</v>
      </c>
      <c r="F36" s="17">
        <v>3502.14</v>
      </c>
      <c r="G36" s="17">
        <v>8.73</v>
      </c>
      <c r="H36" s="17">
        <f t="shared" si="0"/>
        <v>3510.87</v>
      </c>
      <c r="I36" s="17">
        <v>0.56999999999999995</v>
      </c>
      <c r="J36" s="17">
        <f t="shared" si="1"/>
        <v>-8.16</v>
      </c>
    </row>
    <row r="37" spans="3:10" x14ac:dyDescent="0.3">
      <c r="C37" s="17">
        <v>22890</v>
      </c>
      <c r="D37" s="17" t="s">
        <v>42</v>
      </c>
      <c r="E37" s="17">
        <v>17</v>
      </c>
      <c r="F37" s="17">
        <v>175.99</v>
      </c>
      <c r="G37" s="17">
        <v>5.79</v>
      </c>
      <c r="H37" s="17">
        <f t="shared" si="0"/>
        <v>2997.62</v>
      </c>
      <c r="I37" s="17">
        <v>0.36</v>
      </c>
      <c r="J37" s="17">
        <f t="shared" si="1"/>
        <v>0.33000000000000007</v>
      </c>
    </row>
    <row r="38" spans="3:10" x14ac:dyDescent="0.3">
      <c r="C38" s="17">
        <v>25354</v>
      </c>
      <c r="D38" s="17" t="s">
        <v>42</v>
      </c>
      <c r="E38" s="17">
        <v>20</v>
      </c>
      <c r="F38" s="17">
        <v>155.06</v>
      </c>
      <c r="G38" s="17">
        <v>1.49</v>
      </c>
      <c r="H38" s="17">
        <f t="shared" si="0"/>
        <v>3102.6899999999996</v>
      </c>
      <c r="I38" s="17">
        <v>0.38</v>
      </c>
      <c r="J38" s="17">
        <f t="shared" si="1"/>
        <v>6.1099999999999994</v>
      </c>
    </row>
    <row r="39" spans="3:10" x14ac:dyDescent="0.3">
      <c r="C39" s="17">
        <v>21017</v>
      </c>
      <c r="D39" s="17" t="s">
        <v>43</v>
      </c>
      <c r="E39" s="17">
        <v>17</v>
      </c>
      <c r="F39" s="17">
        <v>5.98</v>
      </c>
      <c r="G39" s="17">
        <v>0.7</v>
      </c>
      <c r="H39" s="17">
        <f t="shared" si="0"/>
        <v>102.36000000000001</v>
      </c>
      <c r="I39" s="17">
        <v>0.56000000000000005</v>
      </c>
      <c r="J39" s="17">
        <f t="shared" si="1"/>
        <v>8.8200000000000021</v>
      </c>
    </row>
    <row r="40" spans="3:10" x14ac:dyDescent="0.3">
      <c r="C40" s="17">
        <v>21019</v>
      </c>
      <c r="D40" s="17" t="s">
        <v>43</v>
      </c>
      <c r="E40" s="17">
        <v>3</v>
      </c>
      <c r="F40" s="17">
        <v>29.14</v>
      </c>
      <c r="G40" s="17">
        <v>5.15</v>
      </c>
      <c r="H40" s="17">
        <f t="shared" si="0"/>
        <v>92.570000000000007</v>
      </c>
      <c r="I40" s="17">
        <v>0.36</v>
      </c>
      <c r="J40" s="17">
        <f t="shared" si="1"/>
        <v>-4.07</v>
      </c>
    </row>
    <row r="41" spans="3:10" x14ac:dyDescent="0.3">
      <c r="C41" s="17">
        <v>23274</v>
      </c>
      <c r="D41" s="17" t="s">
        <v>46</v>
      </c>
      <c r="E41" s="17">
        <v>17</v>
      </c>
      <c r="F41" s="17">
        <v>3.69</v>
      </c>
      <c r="G41" s="17">
        <v>4.8600000000000003</v>
      </c>
      <c r="H41" s="17">
        <f t="shared" si="0"/>
        <v>67.59</v>
      </c>
      <c r="I41" s="17">
        <v>0.38</v>
      </c>
      <c r="J41" s="17">
        <f t="shared" si="1"/>
        <v>1.5999999999999996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A065-8B81-49E5-A017-1AE9B88C8030}">
  <sheetPr codeName="Sheet1"/>
  <dimension ref="A1:M45"/>
  <sheetViews>
    <sheetView showGridLines="0" zoomScaleNormal="100" workbookViewId="0">
      <selection activeCell="A37" sqref="A37:J37"/>
    </sheetView>
  </sheetViews>
  <sheetFormatPr defaultRowHeight="14.4" x14ac:dyDescent="0.3"/>
  <cols>
    <col min="2" max="2" width="12.77734375" bestFit="1" customWidth="1"/>
    <col min="3" max="3" width="3.5546875" customWidth="1"/>
    <col min="4" max="4" width="42.77734375" customWidth="1"/>
    <col min="5" max="5" width="6.6640625" customWidth="1"/>
    <col min="6" max="6" width="5.33203125" customWidth="1"/>
    <col min="7" max="7" width="13.6640625" bestFit="1" customWidth="1"/>
    <col min="8" max="8" width="3.6640625" customWidth="1"/>
    <col min="9" max="9" width="42.77734375" customWidth="1"/>
    <col min="10" max="10" width="6.6640625" customWidth="1"/>
  </cols>
  <sheetData>
    <row r="1" spans="2:13" ht="4.8" customHeight="1" x14ac:dyDescent="0.3"/>
    <row r="2" spans="2:13" ht="15" thickBot="1" x14ac:dyDescent="0.35"/>
    <row r="3" spans="2:13" ht="26.4" customHeight="1" thickBot="1" x14ac:dyDescent="0.35">
      <c r="B3" s="2" t="s">
        <v>0</v>
      </c>
      <c r="C3" s="2" t="s">
        <v>11</v>
      </c>
      <c r="D3" s="4" t="s">
        <v>60</v>
      </c>
      <c r="E3" s="6">
        <f>IF(D3="","*",1)</f>
        <v>1</v>
      </c>
      <c r="F3" s="1"/>
      <c r="G3" s="2" t="s">
        <v>8</v>
      </c>
      <c r="H3" s="2" t="s">
        <v>11</v>
      </c>
      <c r="I3" s="4">
        <v>16661</v>
      </c>
      <c r="J3" s="6">
        <f>IF(I3="","*",1)</f>
        <v>1</v>
      </c>
    </row>
    <row r="4" spans="2:13" ht="7.8" customHeight="1" thickBot="1" x14ac:dyDescent="0.35">
      <c r="B4" s="2"/>
      <c r="C4" s="1"/>
      <c r="D4" s="1"/>
      <c r="E4" s="1"/>
      <c r="F4" s="1"/>
      <c r="G4" s="2"/>
    </row>
    <row r="5" spans="2:13" ht="26.4" customHeight="1" thickBot="1" x14ac:dyDescent="0.35">
      <c r="B5" s="2" t="s">
        <v>1</v>
      </c>
      <c r="C5" s="2" t="s">
        <v>11</v>
      </c>
      <c r="D5" s="4" t="s">
        <v>52</v>
      </c>
      <c r="E5" s="6">
        <f>IF(D5="","*",1)</f>
        <v>1</v>
      </c>
      <c r="F5" s="1"/>
      <c r="G5" s="2" t="s">
        <v>9</v>
      </c>
      <c r="H5" s="2" t="s">
        <v>11</v>
      </c>
      <c r="I5" s="10">
        <v>41255</v>
      </c>
      <c r="J5" s="6">
        <f>IF(I5="","*",1)</f>
        <v>1</v>
      </c>
    </row>
    <row r="6" spans="2:13" ht="7.8" customHeight="1" thickBot="1" x14ac:dyDescent="0.35">
      <c r="B6" s="2"/>
      <c r="C6" s="1"/>
      <c r="D6" s="1"/>
      <c r="E6" s="1"/>
      <c r="F6" s="1"/>
      <c r="G6" s="2"/>
    </row>
    <row r="7" spans="2:13" ht="26.4" customHeight="1" thickBot="1" x14ac:dyDescent="0.35">
      <c r="B7" s="2" t="s">
        <v>2</v>
      </c>
      <c r="C7" s="2" t="s">
        <v>11</v>
      </c>
      <c r="D7" s="3"/>
      <c r="E7" s="5"/>
      <c r="F7" s="1"/>
      <c r="G7" s="2" t="s">
        <v>10</v>
      </c>
      <c r="H7" s="2" t="s">
        <v>11</v>
      </c>
      <c r="I7" s="4" t="s">
        <v>54</v>
      </c>
      <c r="J7" s="6">
        <f>IF(I7="","*",1)</f>
        <v>1</v>
      </c>
    </row>
    <row r="8" spans="2:13" ht="7.8" customHeight="1" x14ac:dyDescent="0.3">
      <c r="B8" s="2"/>
      <c r="C8" s="1"/>
      <c r="D8" s="1"/>
      <c r="E8" s="1"/>
      <c r="F8" s="1"/>
      <c r="G8" s="1"/>
    </row>
    <row r="9" spans="2:13" ht="26.4" customHeight="1" x14ac:dyDescent="0.3">
      <c r="B9" s="2" t="s">
        <v>3</v>
      </c>
      <c r="C9" s="2" t="s">
        <v>11</v>
      </c>
      <c r="D9" s="1" t="s">
        <v>55</v>
      </c>
      <c r="E9" s="5"/>
      <c r="F9" s="1"/>
      <c r="G9" s="1"/>
      <c r="K9" s="15"/>
      <c r="L9" s="15"/>
      <c r="M9" s="15"/>
    </row>
    <row r="10" spans="2:13" ht="7.8" customHeight="1" thickBot="1" x14ac:dyDescent="0.35">
      <c r="B10" s="2"/>
      <c r="C10" s="1"/>
      <c r="D10" s="1"/>
      <c r="E10" s="1"/>
      <c r="F10" s="1"/>
      <c r="G10" s="1"/>
      <c r="K10" s="15"/>
      <c r="L10" s="15"/>
      <c r="M10" s="15"/>
    </row>
    <row r="11" spans="2:13" ht="26.4" customHeight="1" thickBot="1" x14ac:dyDescent="0.35">
      <c r="B11" s="2" t="s">
        <v>4</v>
      </c>
      <c r="C11" s="2" t="s">
        <v>11</v>
      </c>
      <c r="D11" s="4" t="s">
        <v>53</v>
      </c>
      <c r="E11" s="6">
        <f>IF(D11="","*",1)</f>
        <v>1</v>
      </c>
      <c r="F11" s="19" t="s">
        <v>12</v>
      </c>
      <c r="G11" s="19"/>
      <c r="H11" s="19"/>
      <c r="K11" s="15"/>
      <c r="L11" s="15">
        <f>COUNTA(D3,D5,D11,D13,D15,D17,I3,I5,I7)</f>
        <v>9</v>
      </c>
      <c r="M11" s="15"/>
    </row>
    <row r="12" spans="2:13" ht="7.8" customHeight="1" thickBot="1" x14ac:dyDescent="0.35">
      <c r="B12" s="2"/>
      <c r="C12" s="1"/>
      <c r="D12" s="1"/>
      <c r="E12" s="1"/>
      <c r="F12" s="1"/>
      <c r="G12" s="1"/>
      <c r="K12" s="15"/>
      <c r="L12" s="15"/>
      <c r="M12" s="15"/>
    </row>
    <row r="13" spans="2:13" ht="26.4" customHeight="1" thickBot="1" x14ac:dyDescent="0.35">
      <c r="B13" s="2" t="s">
        <v>5</v>
      </c>
      <c r="C13" s="2" t="s">
        <v>11</v>
      </c>
      <c r="D13" s="4" t="s">
        <v>21</v>
      </c>
      <c r="E13" s="6">
        <f>IF(D13="","*",1)</f>
        <v>1</v>
      </c>
      <c r="F13" s="20" t="s">
        <v>13</v>
      </c>
      <c r="G13" s="20"/>
      <c r="H13" s="20"/>
      <c r="I13" s="20"/>
      <c r="K13" s="15"/>
      <c r="L13" s="15" t="b">
        <v>1</v>
      </c>
      <c r="M13" s="15"/>
    </row>
    <row r="14" spans="2:13" ht="7.8" customHeight="1" thickBot="1" x14ac:dyDescent="0.35">
      <c r="B14" s="2"/>
      <c r="C14" s="1"/>
      <c r="D14" s="1"/>
      <c r="E14" s="1"/>
      <c r="F14" s="20"/>
      <c r="G14" s="20"/>
      <c r="H14" s="20"/>
      <c r="I14" s="20"/>
      <c r="K14" s="15"/>
      <c r="L14" s="15"/>
      <c r="M14" s="15"/>
    </row>
    <row r="15" spans="2:13" ht="26.4" customHeight="1" thickBot="1" x14ac:dyDescent="0.35">
      <c r="B15" s="2" t="s">
        <v>6</v>
      </c>
      <c r="C15" s="2" t="s">
        <v>11</v>
      </c>
      <c r="D15" s="4">
        <v>422004</v>
      </c>
      <c r="E15" s="6">
        <f>IF(D15="","*",1)</f>
        <v>1</v>
      </c>
      <c r="F15" s="20"/>
      <c r="G15" s="20"/>
      <c r="H15" s="20"/>
      <c r="I15" s="20"/>
      <c r="K15" s="15"/>
      <c r="L15" s="15">
        <v>1</v>
      </c>
      <c r="M15" s="15"/>
    </row>
    <row r="16" spans="2:13" ht="7.8" customHeight="1" thickBot="1" x14ac:dyDescent="0.35">
      <c r="B16" s="2"/>
      <c r="C16" s="1"/>
      <c r="D16" s="1"/>
      <c r="E16" s="1"/>
      <c r="F16" s="1"/>
      <c r="G16" s="1"/>
      <c r="K16" s="15"/>
      <c r="L16" s="15"/>
      <c r="M16" s="15"/>
    </row>
    <row r="17" spans="2:9" ht="26.4" customHeight="1" thickBot="1" x14ac:dyDescent="0.35">
      <c r="B17" s="2" t="s">
        <v>7</v>
      </c>
      <c r="C17" s="2" t="s">
        <v>11</v>
      </c>
      <c r="D17" s="4">
        <v>823165866</v>
      </c>
      <c r="E17" s="6">
        <f>IF(D17="","*",1)</f>
        <v>1</v>
      </c>
      <c r="F17" s="1"/>
      <c r="G17" s="1"/>
    </row>
    <row r="18" spans="2:9" x14ac:dyDescent="0.3">
      <c r="I18" s="16" t="s">
        <v>50</v>
      </c>
    </row>
    <row r="19" spans="2:9" x14ac:dyDescent="0.3">
      <c r="I19" s="16" t="s">
        <v>51</v>
      </c>
    </row>
    <row r="36" spans="1:10" x14ac:dyDescent="0.3">
      <c r="A36" s="9" t="s">
        <v>0</v>
      </c>
      <c r="B36" s="9" t="s">
        <v>8</v>
      </c>
      <c r="C36" s="9" t="s">
        <v>1</v>
      </c>
      <c r="D36" s="9" t="s">
        <v>9</v>
      </c>
      <c r="E36" s="9" t="s">
        <v>2</v>
      </c>
      <c r="F36" s="9" t="s">
        <v>10</v>
      </c>
      <c r="G36" s="9" t="s">
        <v>4</v>
      </c>
      <c r="H36" s="9" t="s">
        <v>5</v>
      </c>
      <c r="I36" s="9" t="s">
        <v>17</v>
      </c>
      <c r="J36" s="9" t="s">
        <v>7</v>
      </c>
    </row>
    <row r="37" spans="1:10" x14ac:dyDescent="0.3">
      <c r="A37" t="str">
        <f>D3</f>
        <v>Piyush</v>
      </c>
      <c r="B37">
        <f>I3</f>
        <v>16661</v>
      </c>
      <c r="C37" t="str">
        <f>D5</f>
        <v>Jaywant</v>
      </c>
      <c r="D37">
        <f>I5</f>
        <v>41255</v>
      </c>
      <c r="E37" t="str">
        <f>IF(L15=1,"Male","Female")</f>
        <v>Male</v>
      </c>
      <c r="F37" t="str">
        <f>I7</f>
        <v>Software Testing</v>
      </c>
      <c r="G37" t="str">
        <f>D11</f>
        <v>nashik</v>
      </c>
      <c r="H37" t="str">
        <f>D13</f>
        <v>Maharashtra</v>
      </c>
      <c r="I37">
        <f>D15</f>
        <v>422004</v>
      </c>
      <c r="J37">
        <f>D17</f>
        <v>823165866</v>
      </c>
    </row>
    <row r="41" spans="1:10" ht="27.6" customHeight="1" x14ac:dyDescent="0.3">
      <c r="G41" s="7" t="s">
        <v>15</v>
      </c>
    </row>
    <row r="45" spans="1:10" ht="27.6" customHeight="1" x14ac:dyDescent="0.3">
      <c r="G45" s="8" t="s">
        <v>16</v>
      </c>
    </row>
  </sheetData>
  <mergeCells count="2">
    <mergeCell ref="F11:H11"/>
    <mergeCell ref="F13:I15"/>
  </mergeCells>
  <conditionalFormatting sqref="D3 D5 D11 D13 D15 D17 I3 I5 I7">
    <cfRule type="containsBlanks" dxfId="1" priority="3">
      <formula>LEN(TRIM(D3))=0</formula>
    </cfRule>
  </conditionalFormatting>
  <conditionalFormatting sqref="G41">
    <cfRule type="expression" dxfId="0" priority="4">
      <formula>$J$18=TRUE</formula>
    </cfRule>
  </conditionalFormatting>
  <dataValidations count="2">
    <dataValidation type="list" allowBlank="1" showInputMessage="1" showErrorMessage="1" sqref="D13" xr:uid="{88E49AB0-D68D-42D3-BDB6-3EBAAC850C34}">
      <formula1>"Maharashtra, Delhi, Karnataka, Gujrat"</formula1>
    </dataValidation>
    <dataValidation type="list" allowBlank="1" showInputMessage="1" showErrorMessage="1" sqref="I7" xr:uid="{E8A72F52-FD8C-44B4-8204-F6FFD92F1D8F}">
      <formula1>"Data Analytics, Data Science, Software Testing, Full Stack Developer, Python SQL, Machine Learning"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3</xdr:col>
                    <xdr:colOff>320040</xdr:colOff>
                    <xdr:row>6</xdr:row>
                    <xdr:rowOff>53340</xdr:rowOff>
                  </from>
                  <to>
                    <xdr:col>3</xdr:col>
                    <xdr:colOff>1059180</xdr:colOff>
                    <xdr:row>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3</xdr:col>
                    <xdr:colOff>1607820</xdr:colOff>
                    <xdr:row>6</xdr:row>
                    <xdr:rowOff>60960</xdr:rowOff>
                  </from>
                  <to>
                    <xdr:col>3</xdr:col>
                    <xdr:colOff>2346960</xdr:colOff>
                    <xdr:row>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5</xdr:col>
                    <xdr:colOff>53340</xdr:colOff>
                    <xdr:row>10</xdr:row>
                    <xdr:rowOff>30480</xdr:rowOff>
                  </from>
                  <to>
                    <xdr:col>8</xdr:col>
                    <xdr:colOff>327660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1B95526A-42A6-42BD-A513-49F6993899C3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E3 E5 E11 E13 E15 E17 J3 J5 J7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5331E-3BB1-4A30-B4D0-B0140D50EDC3}">
  <sheetPr codeName="Sheet2"/>
  <dimension ref="A1:J7"/>
  <sheetViews>
    <sheetView workbookViewId="0">
      <selection activeCell="L7" sqref="L7"/>
    </sheetView>
  </sheetViews>
  <sheetFormatPr defaultRowHeight="14.4" x14ac:dyDescent="0.3"/>
  <cols>
    <col min="1" max="1" width="14.6640625" customWidth="1"/>
    <col min="2" max="2" width="10.44140625" customWidth="1"/>
    <col min="3" max="3" width="18" customWidth="1"/>
    <col min="4" max="4" width="13.6640625" bestFit="1" customWidth="1"/>
    <col min="5" max="5" width="9.109375" customWidth="1"/>
    <col min="6" max="6" width="12" bestFit="1" customWidth="1"/>
    <col min="7" max="7" width="15.77734375" customWidth="1"/>
    <col min="8" max="8" width="16" customWidth="1"/>
    <col min="9" max="9" width="12.109375" customWidth="1"/>
    <col min="10" max="10" width="16.44140625" customWidth="1"/>
  </cols>
  <sheetData>
    <row r="1" spans="1:10" ht="18" customHeight="1" x14ac:dyDescent="0.3">
      <c r="A1" s="9" t="s">
        <v>0</v>
      </c>
      <c r="B1" s="9" t="s">
        <v>8</v>
      </c>
      <c r="C1" s="9" t="s">
        <v>1</v>
      </c>
      <c r="D1" s="9" t="s">
        <v>9</v>
      </c>
      <c r="E1" s="9" t="s">
        <v>2</v>
      </c>
      <c r="F1" s="9" t="s">
        <v>10</v>
      </c>
      <c r="G1" s="9" t="s">
        <v>4</v>
      </c>
      <c r="H1" s="9" t="s">
        <v>5</v>
      </c>
      <c r="I1" s="9" t="s">
        <v>17</v>
      </c>
      <c r="J1" s="9" t="s">
        <v>7</v>
      </c>
    </row>
    <row r="2" spans="1:10" x14ac:dyDescent="0.3">
      <c r="A2" s="13" t="s">
        <v>56</v>
      </c>
      <c r="B2" s="13">
        <v>254685</v>
      </c>
      <c r="C2" s="13" t="s">
        <v>19</v>
      </c>
      <c r="D2" s="14">
        <v>45129</v>
      </c>
      <c r="E2" s="13" t="s">
        <v>23</v>
      </c>
      <c r="F2" s="13" t="s">
        <v>22</v>
      </c>
      <c r="G2" s="13" t="s">
        <v>20</v>
      </c>
      <c r="H2" s="13" t="s">
        <v>21</v>
      </c>
      <c r="I2" s="13">
        <v>422004</v>
      </c>
      <c r="J2" s="13">
        <v>8329424774</v>
      </c>
    </row>
    <row r="3" spans="1:10" x14ac:dyDescent="0.3">
      <c r="A3" s="13" t="s">
        <v>57</v>
      </c>
      <c r="B3" s="13">
        <v>32665</v>
      </c>
      <c r="C3" s="13" t="s">
        <v>19</v>
      </c>
      <c r="D3" s="14">
        <v>45161</v>
      </c>
      <c r="E3" s="13" t="s">
        <v>23</v>
      </c>
      <c r="F3" s="13" t="s">
        <v>24</v>
      </c>
      <c r="G3" s="13" t="s">
        <v>20</v>
      </c>
      <c r="H3" s="13" t="s">
        <v>21</v>
      </c>
      <c r="I3" s="13">
        <v>422005</v>
      </c>
      <c r="J3" s="13">
        <v>9766452199</v>
      </c>
    </row>
    <row r="4" spans="1:10" x14ac:dyDescent="0.3">
      <c r="A4" s="13" t="s">
        <v>25</v>
      </c>
      <c r="B4" s="13">
        <v>458236</v>
      </c>
      <c r="C4" s="13" t="s">
        <v>26</v>
      </c>
      <c r="D4" s="14">
        <v>45114</v>
      </c>
      <c r="E4" s="13" t="s">
        <v>23</v>
      </c>
      <c r="F4" s="13" t="s">
        <v>18</v>
      </c>
      <c r="G4" s="13" t="s">
        <v>27</v>
      </c>
      <c r="H4" s="13" t="s">
        <v>14</v>
      </c>
      <c r="I4" s="13">
        <v>225566</v>
      </c>
      <c r="J4" s="13">
        <v>7895632321</v>
      </c>
    </row>
    <row r="5" spans="1:10" x14ac:dyDescent="0.3">
      <c r="A5" s="13" t="s">
        <v>58</v>
      </c>
      <c r="B5" s="13">
        <v>56592</v>
      </c>
      <c r="C5" s="13" t="s">
        <v>47</v>
      </c>
      <c r="D5" s="14">
        <v>44749</v>
      </c>
      <c r="E5" s="13" t="s">
        <v>49</v>
      </c>
      <c r="F5" s="13" t="s">
        <v>24</v>
      </c>
      <c r="G5" s="13" t="s">
        <v>48</v>
      </c>
      <c r="H5" s="13" t="s">
        <v>14</v>
      </c>
      <c r="I5" s="13">
        <v>452363</v>
      </c>
      <c r="J5" s="13">
        <v>852169889</v>
      </c>
    </row>
    <row r="6" spans="1:10" x14ac:dyDescent="0.3">
      <c r="A6" s="13" t="s">
        <v>59</v>
      </c>
      <c r="B6" s="13">
        <v>16661</v>
      </c>
      <c r="C6" s="13" t="s">
        <v>52</v>
      </c>
      <c r="D6" s="14">
        <v>41255</v>
      </c>
      <c r="E6" s="13" t="s">
        <v>23</v>
      </c>
      <c r="F6" s="13" t="s">
        <v>54</v>
      </c>
      <c r="G6" s="13" t="s">
        <v>53</v>
      </c>
      <c r="H6" s="13" t="s">
        <v>21</v>
      </c>
      <c r="I6" s="13">
        <v>422004</v>
      </c>
      <c r="J6" s="13">
        <v>823165866</v>
      </c>
    </row>
    <row r="7" spans="1:10" x14ac:dyDescent="0.3">
      <c r="A7" s="11" t="s">
        <v>60</v>
      </c>
      <c r="B7" s="11">
        <v>16661</v>
      </c>
      <c r="C7" s="11" t="s">
        <v>52</v>
      </c>
      <c r="D7" s="12">
        <v>41255</v>
      </c>
      <c r="E7" s="11" t="s">
        <v>23</v>
      </c>
      <c r="F7" s="11" t="s">
        <v>54</v>
      </c>
      <c r="G7" s="11" t="s">
        <v>53</v>
      </c>
      <c r="H7" s="11" t="s">
        <v>21</v>
      </c>
      <c r="I7" s="11">
        <v>422004</v>
      </c>
      <c r="J7" s="11">
        <v>823165866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macro</vt:lpstr>
      <vt:lpstr>2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Atharva More</cp:lastModifiedBy>
  <dcterms:created xsi:type="dcterms:W3CDTF">2023-09-05T17:33:38Z</dcterms:created>
  <dcterms:modified xsi:type="dcterms:W3CDTF">2023-11-07T06:10:37Z</dcterms:modified>
</cp:coreProperties>
</file>